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28" codeName="{372AB895-14C1-FC20-EB20-F1B4BCFD95A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FID2\P_Bulle\"/>
    </mc:Choice>
  </mc:AlternateContent>
  <xr:revisionPtr revIDLastSave="0" documentId="13_ncr:1_{A5E0442F-D798-4ADB-8C1C-E21CA60F2877}" xr6:coauthVersionLast="47" xr6:coauthVersionMax="47" xr10:uidLastSave="{00000000-0000-0000-0000-000000000000}"/>
  <bookViews>
    <workbookView xWindow="-120" yWindow="-120" windowWidth="29040" windowHeight="1584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6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4" i="156" l="1"/>
  <c r="D115" i="156"/>
  <c r="D96" i="156"/>
  <c r="D77" i="156"/>
  <c r="D58" i="156"/>
  <c r="D39" i="156"/>
  <c r="D20" i="156"/>
  <c r="D1" i="156"/>
  <c r="B151" i="156"/>
  <c r="B132" i="156"/>
  <c r="B113" i="156"/>
  <c r="B94" i="156"/>
  <c r="B75" i="156"/>
  <c r="B56" i="156"/>
  <c r="B37" i="156"/>
  <c r="B18" i="156"/>
  <c r="B18" i="154"/>
  <c r="B13" i="11" l="1"/>
</calcChain>
</file>

<file path=xl/sharedStrings.xml><?xml version="1.0" encoding="utf-8"?>
<sst xmlns="http://schemas.openxmlformats.org/spreadsheetml/2006/main" count="136" uniqueCount="54">
  <si>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</si>
  <si>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</si>
  <si>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</si>
  <si>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</si>
  <si>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</si>
  <si>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</si>
  <si>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</si>
  <si>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</si>
  <si>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</si>
  <si>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</si>
  <si>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</si>
  <si>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</si>
  <si>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</si>
  <si>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</si>
  <si>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</si>
  <si>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</si>
  <si>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</si>
  <si>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</si>
  <si>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</si>
  <si>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</si>
  <si>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</si>
  <si>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</si>
  <si>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</si>
  <si>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</si>
  <si>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Diogo Filipe Rodrigues Lopes</t>
  </si>
  <si>
    <t>FID1</t>
  </si>
  <si>
    <t>ETML</t>
  </si>
  <si>
    <t>P_bulle Snake</t>
  </si>
  <si>
    <t>Max. 9</t>
  </si>
  <si>
    <t>STOP</t>
  </si>
  <si>
    <t xml:space="preserve">Documentation </t>
  </si>
  <si>
    <t xml:space="preserve">Rapport </t>
  </si>
  <si>
    <t>Codage</t>
  </si>
  <si>
    <t xml:space="preserve">Introduction </t>
  </si>
  <si>
    <t>Introduction au cours par l'enseignat</t>
  </si>
  <si>
    <t>Recherche de documentation pour la réalisation du snake</t>
  </si>
  <si>
    <t>Ajout des parametres des fontions moveSnake et drawSnake</t>
  </si>
  <si>
    <t>Création initiale du rapport du projet</t>
  </si>
  <si>
    <t>Création des fonctions generateFood et drawFood pour permettre la generation et le dessin de la nourriture</t>
  </si>
  <si>
    <t>Ecriture de la classe Snake et ses fonctions sur le rapport.</t>
  </si>
  <si>
    <t>Ecriture de la classe Food et Score dans le rapport</t>
  </si>
  <si>
    <t>Creation du code de deplacement dans la classe snake et la liaison avec la classe controls</t>
  </si>
  <si>
    <t>Congé</t>
  </si>
  <si>
    <t>Correction</t>
  </si>
  <si>
    <t>Correction du déplacement du serpent dans les controles et ajout de la separation entre x et y dans le tableau du serpent</t>
  </si>
  <si>
    <t>Codage de la detection des collisitions contre les murs et sur le serpent lui-même, ainsi que son implementation dans le main</t>
  </si>
  <si>
    <t>Debug</t>
  </si>
  <si>
    <t>Correction de l'affichage du snake (les données nécesaires pour son afichage n'étaient pas mises en paramétres dans la fonction)</t>
  </si>
  <si>
    <t>Ajout de la fonction pour generer de la nouvelle du nourriture quand le serpent la mange et aggrandissement du serpent.</t>
  </si>
  <si>
    <t>Ajout de la fonction permettant de mettre en pause le jeux ainsi que la correction des beugs liées a son implémentation</t>
  </si>
  <si>
    <t>Creation du code permettant le changemement de direction</t>
  </si>
  <si>
    <t>Continuation du code pour le changment de direction du serpent</t>
  </si>
  <si>
    <t>Realisation d'autres Projets</t>
  </si>
  <si>
    <t>Utilisation de cette séquence pour continuer d'autres projets moins aboutis.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</si>
</sst>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7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>
      <alignment horizontal="left" vertical="top" wrapText="1"/>
    </xf>
    <xf numFmtId="0" fontId="16" fillId="9" borderId="0" xfId="0" applyFont="1" applyFill="1"/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0" fillId="0" borderId="1" xfId="0" applyBorder="1" applyAlignment="1" applyProtection="1">
      <alignment horizontal="left" vertical="top" wrapText="1"/>
      <protection locked="0"/>
    </xf>
    <xf numFmtId="0" fontId="0" fillId="0" borderId="2" xfId="0" applyBorder="1" applyAlignment="1" applyProtection="1">
      <alignment horizontal="left" vertical="top" wrapText="1"/>
      <protection locked="0"/>
    </xf>
    <xf numFmtId="0" fontId="0" fillId="0" borderId="2" xfId="0" applyFont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  <xf numFmtId="0" fontId="0" fillId="0" borderId="1" xfId="0" applyFont="1" applyBorder="1" applyAlignment="1" applyProtection="1">
      <alignment horizontal="left" vertical="top" wrapText="1"/>
      <protection locked="0"/>
    </xf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3009" name="btnImportRealisation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5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zoomScaleNormal="100" zoomScaleSheetLayoutView="100" workbookViewId="0">
      <selection activeCell="C12" sqref="C12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0</v>
      </c>
      <c r="C3" s="62" t="s">
        <v>27</v>
      </c>
      <c r="D3" s="59"/>
      <c r="E3" s="59"/>
      <c r="F3" s="59"/>
      <c r="G3" s="60"/>
    </row>
    <row r="4" spans="1:7" ht="20.25" x14ac:dyDescent="0.25">
      <c r="A4" s="58"/>
      <c r="B4" s="63" t="s">
        <v>4</v>
      </c>
      <c r="C4" s="64" t="s">
        <v>24</v>
      </c>
      <c r="D4" s="59"/>
      <c r="E4" s="59"/>
      <c r="F4" s="59"/>
      <c r="G4" s="60"/>
    </row>
    <row r="5" spans="1:7" ht="20.25" x14ac:dyDescent="0.25">
      <c r="A5" s="58"/>
      <c r="B5" s="63" t="s">
        <v>1</v>
      </c>
      <c r="C5" s="64" t="s">
        <v>25</v>
      </c>
      <c r="D5" s="59"/>
      <c r="E5" s="59"/>
      <c r="F5" s="59"/>
      <c r="G5" s="60"/>
    </row>
    <row r="6" spans="1:7" ht="21" thickBot="1" x14ac:dyDescent="0.3">
      <c r="A6" s="58"/>
      <c r="B6" s="65" t="s">
        <v>2</v>
      </c>
      <c r="C6" s="66" t="s">
        <v>26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9</v>
      </c>
      <c r="C9" s="67">
        <v>45894</v>
      </c>
      <c r="D9" s="59"/>
      <c r="E9" s="59"/>
      <c r="F9" s="59"/>
      <c r="G9" s="60"/>
    </row>
    <row r="10" spans="1:7" ht="20.25" x14ac:dyDescent="0.25">
      <c r="A10" s="58"/>
      <c r="B10" s="68" t="s">
        <v>8</v>
      </c>
      <c r="C10" s="69">
        <v>45957</v>
      </c>
      <c r="D10" s="59"/>
      <c r="E10" s="59"/>
      <c r="F10" s="59"/>
      <c r="G10" s="60"/>
    </row>
    <row r="11" spans="1:7" ht="20.25" x14ac:dyDescent="0.25">
      <c r="A11" s="58"/>
      <c r="B11" s="68" t="s">
        <v>10</v>
      </c>
      <c r="C11" s="70">
        <v>8</v>
      </c>
      <c r="D11" s="59"/>
      <c r="E11" s="59"/>
      <c r="F11" s="59"/>
      <c r="G11" s="60"/>
    </row>
    <row r="12" spans="1:7" ht="20.25" x14ac:dyDescent="0.25">
      <c r="A12" s="58"/>
      <c r="B12" s="63" t="s">
        <v>11</v>
      </c>
      <c r="C12" s="71">
        <v>3</v>
      </c>
      <c r="D12" s="59"/>
      <c r="E12" s="59"/>
      <c r="F12" s="59"/>
      <c r="G12" s="60"/>
    </row>
    <row r="13" spans="1:7" ht="20.25" x14ac:dyDescent="0.25">
      <c r="A13" s="58"/>
      <c r="B13" s="63" t="s">
        <v>12</v>
      </c>
      <c r="C13" s="71">
        <v>3</v>
      </c>
      <c r="D13" s="59"/>
      <c r="E13" s="59"/>
      <c r="F13" s="59"/>
      <c r="G13" s="60"/>
    </row>
    <row r="14" spans="1:7" ht="20.25" thickBot="1" x14ac:dyDescent="0.3">
      <c r="A14" s="58"/>
      <c r="B14" s="72"/>
      <c r="C14" s="73" t="s">
        <v>6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4"/>
      <c r="B16" s="75"/>
      <c r="C16" s="75"/>
      <c r="D16" s="75"/>
      <c r="E16" s="75"/>
      <c r="F16" s="75"/>
      <c r="G16" s="76"/>
    </row>
    <row r="17" spans="1:7" x14ac:dyDescent="0.25">
      <c r="A17" s="77"/>
      <c r="B17" s="55"/>
      <c r="C17" s="55"/>
      <c r="D17" s="55"/>
      <c r="E17" s="55"/>
      <c r="F17" s="55"/>
      <c r="G17" s="56"/>
    </row>
    <row r="18" spans="1:7" ht="14.25" thickBot="1" x14ac:dyDescent="0.3">
      <c r="A18" s="78"/>
      <c r="B18" s="59"/>
      <c r="C18" s="59"/>
      <c r="D18" s="59"/>
      <c r="E18" s="59"/>
      <c r="F18" s="59"/>
      <c r="G18" s="60"/>
    </row>
    <row r="19" spans="1:7" ht="21" thickBot="1" x14ac:dyDescent="0.3">
      <c r="A19" s="78"/>
      <c r="B19" s="92" t="s">
        <v>19</v>
      </c>
      <c r="C19" s="93"/>
      <c r="D19" s="59"/>
      <c r="E19" s="59"/>
      <c r="F19" s="59"/>
      <c r="G19" s="60"/>
    </row>
    <row r="20" spans="1:7" ht="20.25" x14ac:dyDescent="0.25">
      <c r="A20" s="78"/>
      <c r="B20" s="79" t="s">
        <v>20</v>
      </c>
      <c r="C20" s="80" t="s">
        <v>21</v>
      </c>
      <c r="D20" s="59"/>
      <c r="E20" s="59"/>
      <c r="F20" s="59"/>
      <c r="G20" s="60"/>
    </row>
    <row r="21" spans="1:7" ht="20.25" x14ac:dyDescent="0.25">
      <c r="A21" s="78"/>
      <c r="B21" s="79">
        <v>1</v>
      </c>
      <c r="C21" s="69" t="s">
        <v>30</v>
      </c>
      <c r="D21" s="59"/>
      <c r="E21" s="59"/>
      <c r="F21" s="59"/>
      <c r="G21" s="60"/>
    </row>
    <row r="22" spans="1:7" ht="20.25" x14ac:dyDescent="0.25">
      <c r="A22" s="78"/>
      <c r="B22" s="79">
        <v>2</v>
      </c>
      <c r="C22" s="70" t="s">
        <v>31</v>
      </c>
      <c r="D22" s="59"/>
      <c r="E22" s="59"/>
      <c r="F22" s="59"/>
      <c r="G22" s="60"/>
    </row>
    <row r="23" spans="1:7" ht="20.25" x14ac:dyDescent="0.25">
      <c r="A23" s="78"/>
      <c r="B23" s="81">
        <v>3</v>
      </c>
      <c r="C23" s="70" t="s">
        <v>32</v>
      </c>
      <c r="D23" s="59"/>
      <c r="E23" s="59"/>
      <c r="F23" s="59"/>
      <c r="G23" s="60"/>
    </row>
    <row r="24" spans="1:7" ht="20.25" x14ac:dyDescent="0.25">
      <c r="A24" s="78"/>
      <c r="B24" s="79">
        <v>4</v>
      </c>
      <c r="C24" s="70"/>
      <c r="D24" s="59"/>
      <c r="E24" s="59"/>
      <c r="F24" s="59"/>
      <c r="G24" s="60"/>
    </row>
    <row r="25" spans="1:7" ht="20.25" x14ac:dyDescent="0.25">
      <c r="A25" s="78"/>
      <c r="B25" s="79">
        <v>5</v>
      </c>
      <c r="C25" s="70"/>
      <c r="D25" s="59"/>
      <c r="E25" s="59"/>
      <c r="F25" s="59"/>
      <c r="G25" s="60"/>
    </row>
    <row r="26" spans="1:7" ht="20.25" x14ac:dyDescent="0.25">
      <c r="A26" s="78"/>
      <c r="B26" s="81">
        <v>6</v>
      </c>
      <c r="C26" s="70"/>
      <c r="D26" s="59"/>
      <c r="E26" s="59"/>
      <c r="F26" s="59"/>
      <c r="G26" s="60"/>
    </row>
    <row r="27" spans="1:7" ht="20.25" x14ac:dyDescent="0.25">
      <c r="A27" s="78"/>
      <c r="B27" s="79">
        <v>7</v>
      </c>
      <c r="C27" s="70"/>
      <c r="D27" s="59"/>
      <c r="E27" s="59"/>
      <c r="F27" s="59"/>
      <c r="G27" s="60"/>
    </row>
    <row r="28" spans="1:7" ht="20.25" x14ac:dyDescent="0.25">
      <c r="A28" s="78"/>
      <c r="B28" s="79">
        <v>8</v>
      </c>
      <c r="C28" s="71"/>
      <c r="D28" s="59"/>
      <c r="E28" s="59"/>
      <c r="F28" s="59"/>
      <c r="G28" s="60"/>
    </row>
    <row r="29" spans="1:7" ht="20.25" x14ac:dyDescent="0.25">
      <c r="A29" s="78"/>
      <c r="B29" s="81">
        <v>9</v>
      </c>
      <c r="C29" s="71"/>
      <c r="D29" s="59"/>
      <c r="E29" s="59"/>
      <c r="F29" s="59"/>
      <c r="G29" s="60"/>
    </row>
    <row r="30" spans="1:7" ht="20.25" x14ac:dyDescent="0.25">
      <c r="A30" s="78"/>
      <c r="B30" s="79">
        <v>10</v>
      </c>
      <c r="C30" s="70"/>
      <c r="D30" s="59"/>
      <c r="E30" s="59"/>
      <c r="F30" s="59"/>
      <c r="G30" s="60"/>
    </row>
    <row r="31" spans="1:7" ht="20.25" x14ac:dyDescent="0.25">
      <c r="A31" s="78"/>
      <c r="B31" s="79">
        <v>11</v>
      </c>
      <c r="C31" s="70"/>
      <c r="D31" s="59"/>
      <c r="E31" s="59"/>
      <c r="F31" s="59"/>
      <c r="G31" s="60"/>
    </row>
    <row r="32" spans="1:7" ht="20.25" x14ac:dyDescent="0.25">
      <c r="A32" s="78"/>
      <c r="B32" s="81">
        <v>12</v>
      </c>
      <c r="C32" s="70"/>
      <c r="D32" s="59"/>
      <c r="E32" s="59"/>
      <c r="F32" s="59"/>
      <c r="G32" s="60"/>
    </row>
    <row r="33" spans="1:7" ht="20.25" x14ac:dyDescent="0.25">
      <c r="A33" s="78"/>
      <c r="B33" s="79">
        <v>13</v>
      </c>
      <c r="C33" s="70"/>
      <c r="D33" s="59"/>
      <c r="E33" s="59"/>
      <c r="F33" s="59"/>
      <c r="G33" s="60"/>
    </row>
    <row r="34" spans="1:7" ht="20.25" x14ac:dyDescent="0.25">
      <c r="A34" s="78"/>
      <c r="B34" s="79">
        <v>14</v>
      </c>
      <c r="C34" s="71"/>
      <c r="D34" s="59"/>
      <c r="E34" s="59"/>
      <c r="F34" s="59"/>
      <c r="G34" s="60"/>
    </row>
    <row r="35" spans="1:7" ht="20.25" x14ac:dyDescent="0.25">
      <c r="A35" s="78"/>
      <c r="B35" s="81">
        <v>15</v>
      </c>
      <c r="C35" s="71"/>
      <c r="D35" s="59"/>
      <c r="E35" s="59"/>
      <c r="F35" s="59"/>
      <c r="G35" s="60"/>
    </row>
    <row r="36" spans="1:7" ht="20.25" x14ac:dyDescent="0.25">
      <c r="A36" s="78"/>
      <c r="B36" s="79">
        <v>16</v>
      </c>
      <c r="C36" s="70"/>
      <c r="D36" s="59"/>
      <c r="E36" s="59"/>
      <c r="F36" s="59"/>
      <c r="G36" s="60"/>
    </row>
    <row r="37" spans="1:7" ht="20.25" x14ac:dyDescent="0.25">
      <c r="A37" s="78"/>
      <c r="B37" s="79">
        <v>17</v>
      </c>
      <c r="C37" s="70"/>
      <c r="D37" s="59"/>
      <c r="E37" s="59"/>
      <c r="F37" s="59"/>
      <c r="G37" s="60"/>
    </row>
    <row r="38" spans="1:7" ht="20.25" x14ac:dyDescent="0.25">
      <c r="A38" s="78"/>
      <c r="B38" s="81">
        <v>18</v>
      </c>
      <c r="C38" s="70"/>
      <c r="D38" s="59"/>
      <c r="E38" s="59"/>
      <c r="F38" s="59"/>
      <c r="G38" s="60"/>
    </row>
    <row r="39" spans="1:7" ht="20.25" x14ac:dyDescent="0.25">
      <c r="A39" s="78"/>
      <c r="B39" s="79">
        <v>19</v>
      </c>
      <c r="C39" s="70"/>
      <c r="D39" s="59"/>
      <c r="E39" s="59"/>
      <c r="F39" s="59"/>
      <c r="G39" s="60"/>
    </row>
    <row r="40" spans="1:7" ht="20.25" x14ac:dyDescent="0.25">
      <c r="A40" s="78"/>
      <c r="B40" s="79">
        <v>20</v>
      </c>
      <c r="C40" s="71"/>
      <c r="D40" s="59"/>
      <c r="E40" s="59"/>
      <c r="F40" s="59"/>
      <c r="G40" s="60"/>
    </row>
    <row r="41" spans="1:7" ht="20.25" x14ac:dyDescent="0.25">
      <c r="A41" s="78"/>
      <c r="B41" s="81">
        <v>21</v>
      </c>
      <c r="C41" s="71"/>
      <c r="D41" s="59"/>
      <c r="E41" s="59"/>
      <c r="F41" s="59"/>
      <c r="G41" s="60"/>
    </row>
    <row r="42" spans="1:7" ht="20.25" x14ac:dyDescent="0.25">
      <c r="A42" s="78"/>
      <c r="B42" s="79">
        <v>22</v>
      </c>
      <c r="C42" s="70"/>
      <c r="D42" s="59"/>
      <c r="E42" s="59"/>
      <c r="F42" s="59"/>
      <c r="G42" s="60"/>
    </row>
    <row r="43" spans="1:7" ht="20.25" x14ac:dyDescent="0.25">
      <c r="A43" s="78"/>
      <c r="B43" s="79">
        <v>23</v>
      </c>
      <c r="C43" s="70"/>
      <c r="D43" s="59"/>
      <c r="E43" s="59"/>
      <c r="F43" s="59"/>
      <c r="G43" s="60"/>
    </row>
    <row r="44" spans="1:7" ht="20.25" x14ac:dyDescent="0.25">
      <c r="A44" s="78"/>
      <c r="B44" s="81">
        <v>24</v>
      </c>
      <c r="C44" s="70"/>
      <c r="D44" s="59"/>
      <c r="E44" s="59"/>
      <c r="F44" s="59"/>
      <c r="G44" s="60"/>
    </row>
    <row r="45" spans="1:7" ht="21" thickBot="1" x14ac:dyDescent="0.3">
      <c r="A45" s="78"/>
      <c r="B45" s="82">
        <v>25</v>
      </c>
      <c r="C45" s="83"/>
      <c r="D45" s="59"/>
      <c r="E45" s="59"/>
      <c r="F45" s="59"/>
      <c r="G45" s="60"/>
    </row>
    <row r="46" spans="1:7" x14ac:dyDescent="0.25">
      <c r="A46" s="78"/>
      <c r="B46" s="55"/>
      <c r="C46" s="59"/>
      <c r="D46" s="59"/>
      <c r="E46" s="59"/>
      <c r="F46" s="59"/>
      <c r="G46" s="60"/>
    </row>
    <row r="47" spans="1:7" x14ac:dyDescent="0.25">
      <c r="A47" s="78"/>
      <c r="B47" s="59"/>
      <c r="C47" s="59"/>
      <c r="D47" s="59"/>
      <c r="E47" s="59"/>
      <c r="F47" s="59"/>
      <c r="G47" s="60"/>
    </row>
    <row r="48" spans="1:7" x14ac:dyDescent="0.25">
      <c r="A48" s="78"/>
      <c r="B48" s="59"/>
      <c r="C48" s="59"/>
      <c r="D48" s="59"/>
      <c r="E48" s="59"/>
      <c r="F48" s="59"/>
      <c r="G48" s="60"/>
    </row>
    <row r="49" spans="1:7" x14ac:dyDescent="0.25">
      <c r="A49" s="78"/>
      <c r="B49" s="59"/>
      <c r="C49" s="59"/>
      <c r="D49" s="59"/>
      <c r="E49" s="59"/>
      <c r="F49" s="59"/>
      <c r="G49" s="60"/>
    </row>
    <row r="50" spans="1:7" x14ac:dyDescent="0.25">
      <c r="A50" s="78"/>
      <c r="B50" s="59"/>
      <c r="C50" s="59"/>
      <c r="D50" s="59"/>
      <c r="E50" s="59"/>
      <c r="F50" s="59"/>
      <c r="G50" s="60"/>
    </row>
    <row r="51" spans="1:7" x14ac:dyDescent="0.25">
      <c r="A51" s="78"/>
      <c r="B51" s="59"/>
      <c r="C51" s="59"/>
      <c r="D51" s="59"/>
      <c r="E51" s="59"/>
      <c r="F51" s="59"/>
      <c r="G51" s="60"/>
    </row>
    <row r="52" spans="1:7" x14ac:dyDescent="0.25">
      <c r="A52" s="78"/>
      <c r="B52" s="59"/>
      <c r="C52" s="59"/>
      <c r="D52" s="59"/>
      <c r="E52" s="59"/>
      <c r="F52" s="59"/>
      <c r="G52" s="60"/>
    </row>
    <row r="53" spans="1:7" x14ac:dyDescent="0.25">
      <c r="A53" s="78"/>
      <c r="B53" s="59"/>
      <c r="C53" s="59"/>
      <c r="D53" s="59"/>
      <c r="E53" s="59"/>
      <c r="F53" s="59"/>
      <c r="G53" s="60"/>
    </row>
    <row r="54" spans="1:7" ht="14.25" thickBot="1" x14ac:dyDescent="0.3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4" t="s">
        <v>21</v>
      </c>
      <c r="C3" s="16">
        <v>0</v>
      </c>
    </row>
    <row r="4" spans="1:4" ht="19.5" customHeight="1" x14ac:dyDescent="0.25">
      <c r="A4" s="19"/>
      <c r="B4" s="95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14</v>
      </c>
      <c r="B1" s="7">
        <v>1</v>
      </c>
      <c r="C1" s="17"/>
      <c r="D1" s="85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/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5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500-000001000000}">
      <formula1>0</formula1>
      <formula2>NbPerWeek * NbQuartPer</formula2>
    </dataValidation>
    <dataValidation type="list" allowBlank="1" showInputMessage="1" showErrorMessage="1" sqref="A27:A34" xr:uid="{00000000-0002-0000-05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5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5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E5C9D6-0AA4-4AE9-8DE2-FEE68F6082E4}">
  <sheetPr codeName="Feuil9"/>
  <dimension ref="A1:H153"/>
  <sheetViews>
    <sheetView tabSelected="1" topLeftCell="A118" workbookViewId="0">
      <selection activeCell="C136" sqref="C136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>
        <f>Donnees!$C$9</f>
        <v>45894</v>
      </c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88" t="s">
        <v>33</v>
      </c>
      <c r="B3" s="4">
        <v>2</v>
      </c>
      <c r="C3" s="89" t="s">
        <v>34</v>
      </c>
      <c r="D3" s="9"/>
    </row>
    <row r="4" spans="1:4" s="52" customFormat="1" x14ac:dyDescent="0.25">
      <c r="A4" s="1" t="s">
        <v>30</v>
      </c>
      <c r="B4" s="2">
        <v>7</v>
      </c>
      <c r="C4" s="90" t="s">
        <v>35</v>
      </c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9</v>
      </c>
      <c r="C18" s="86" t="s">
        <v>28</v>
      </c>
      <c r="D18" s="48"/>
    </row>
    <row r="19" spans="1:8" ht="15" thickBot="1" x14ac:dyDescent="0.35">
      <c r="A19" s="49"/>
      <c r="B19" s="49"/>
      <c r="C19" s="49"/>
      <c r="D19" s="49"/>
    </row>
    <row r="20" spans="1:8" ht="18.75" thickBot="1" x14ac:dyDescent="0.3">
      <c r="A20" s="42" t="s">
        <v>14</v>
      </c>
      <c r="B20" s="43">
        <v>2</v>
      </c>
      <c r="C20" s="44" t="s">
        <v>23</v>
      </c>
      <c r="D20" s="53">
        <f>$D$1+7</f>
        <v>45901</v>
      </c>
    </row>
    <row r="21" spans="1:8" ht="27.75" thickBot="1" x14ac:dyDescent="0.3">
      <c r="A21" s="45" t="s">
        <v>3</v>
      </c>
      <c r="B21" s="46" t="s">
        <v>15</v>
      </c>
      <c r="C21" s="45" t="s">
        <v>7</v>
      </c>
      <c r="D21" s="45" t="s">
        <v>13</v>
      </c>
    </row>
    <row r="22" spans="1:8" x14ac:dyDescent="0.25">
      <c r="A22" s="5" t="s">
        <v>31</v>
      </c>
      <c r="B22" s="4">
        <v>4</v>
      </c>
      <c r="C22" s="89" t="s">
        <v>37</v>
      </c>
      <c r="D22" s="9"/>
    </row>
    <row r="23" spans="1:8" x14ac:dyDescent="0.25">
      <c r="A23" s="1" t="s">
        <v>32</v>
      </c>
      <c r="B23" s="2">
        <v>3</v>
      </c>
      <c r="C23" s="90" t="s">
        <v>36</v>
      </c>
      <c r="D23" s="10"/>
    </row>
    <row r="24" spans="1:8" ht="27" x14ac:dyDescent="0.25">
      <c r="A24" s="1" t="s">
        <v>32</v>
      </c>
      <c r="B24" s="2">
        <v>2</v>
      </c>
      <c r="C24" s="90" t="s">
        <v>38</v>
      </c>
      <c r="D24" s="10"/>
    </row>
    <row r="25" spans="1:8" ht="12.75" customHeight="1" x14ac:dyDescent="0.25">
      <c r="A25" s="1"/>
      <c r="B25" s="2"/>
      <c r="C25" s="10"/>
      <c r="D25" s="10"/>
      <c r="F25" s="31"/>
      <c r="G25" s="32"/>
      <c r="H25" s="33"/>
    </row>
    <row r="26" spans="1:8" ht="15" x14ac:dyDescent="0.25">
      <c r="A26" s="1"/>
      <c r="B26" s="2"/>
      <c r="C26" s="10"/>
      <c r="D26" s="10"/>
      <c r="F26" s="34"/>
      <c r="G26" s="30"/>
      <c r="H26" s="30"/>
    </row>
    <row r="27" spans="1:8" x14ac:dyDescent="0.25">
      <c r="A27" s="1"/>
      <c r="B27" s="2"/>
      <c r="C27" s="10"/>
      <c r="D27" s="10"/>
      <c r="F27" s="36"/>
      <c r="G27" s="37"/>
      <c r="H27" s="37"/>
    </row>
    <row r="28" spans="1:8" x14ac:dyDescent="0.25">
      <c r="A28" s="1"/>
      <c r="B28" s="2"/>
      <c r="C28" s="10"/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/>
      <c r="B36" s="3"/>
      <c r="C36" s="11"/>
      <c r="D36" s="11"/>
      <c r="F36" s="40"/>
      <c r="G36" s="40"/>
      <c r="H36" s="40"/>
    </row>
    <row r="37" spans="1:8" ht="14.25" thickBot="1" x14ac:dyDescent="0.3">
      <c r="A37" s="47" t="s">
        <v>22</v>
      </c>
      <c r="B37" s="47">
        <f>SUM(B22:B36)</f>
        <v>9</v>
      </c>
      <c r="C37" s="86" t="s">
        <v>28</v>
      </c>
      <c r="D37" s="48"/>
    </row>
    <row r="38" spans="1:8" ht="15" thickBot="1" x14ac:dyDescent="0.35">
      <c r="A38" s="49"/>
      <c r="B38" s="49"/>
      <c r="C38" s="49"/>
      <c r="D38" s="49"/>
    </row>
    <row r="39" spans="1:8" ht="18.75" thickBot="1" x14ac:dyDescent="0.3">
      <c r="A39" s="42" t="s">
        <v>14</v>
      </c>
      <c r="B39" s="43">
        <v>3</v>
      </c>
      <c r="C39" s="44" t="s">
        <v>23</v>
      </c>
      <c r="D39" s="53">
        <f>$D$20+7</f>
        <v>45908</v>
      </c>
    </row>
    <row r="40" spans="1:8" ht="27.75" thickBot="1" x14ac:dyDescent="0.3">
      <c r="A40" s="45" t="s">
        <v>3</v>
      </c>
      <c r="B40" s="46" t="s">
        <v>15</v>
      </c>
      <c r="C40" s="45" t="s">
        <v>7</v>
      </c>
      <c r="D40" s="45" t="s">
        <v>13</v>
      </c>
    </row>
    <row r="41" spans="1:8" x14ac:dyDescent="0.25">
      <c r="A41" s="5" t="s">
        <v>31</v>
      </c>
      <c r="B41" s="4">
        <v>3</v>
      </c>
      <c r="C41" s="89" t="s">
        <v>39</v>
      </c>
      <c r="D41" s="9"/>
    </row>
    <row r="42" spans="1:8" x14ac:dyDescent="0.25">
      <c r="A42" s="1" t="s">
        <v>32</v>
      </c>
      <c r="B42" s="2">
        <v>6</v>
      </c>
      <c r="C42" s="91" t="s">
        <v>50</v>
      </c>
      <c r="D42" s="10"/>
    </row>
    <row r="43" spans="1:8" x14ac:dyDescent="0.25">
      <c r="A43" s="1"/>
      <c r="B43" s="2"/>
      <c r="C43" s="10"/>
      <c r="D43" s="10"/>
    </row>
    <row r="44" spans="1:8" x14ac:dyDescent="0.25">
      <c r="A44" s="1"/>
      <c r="B44" s="2"/>
      <c r="C44" s="10"/>
      <c r="D44" s="10"/>
    </row>
    <row r="45" spans="1:8" x14ac:dyDescent="0.25">
      <c r="A45" s="1"/>
      <c r="B45" s="2"/>
      <c r="C45" s="10"/>
      <c r="D45" s="10"/>
    </row>
    <row r="46" spans="1:8" x14ac:dyDescent="0.25">
      <c r="A46" s="1"/>
      <c r="B46" s="2"/>
      <c r="C46" s="10"/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7" t="s">
        <v>22</v>
      </c>
      <c r="B56" s="47">
        <f>SUM(B41:B55)</f>
        <v>9</v>
      </c>
      <c r="C56" s="86" t="s">
        <v>28</v>
      </c>
      <c r="D56" s="48"/>
    </row>
    <row r="57" spans="1:4" ht="15" thickBot="1" x14ac:dyDescent="0.35">
      <c r="A57" s="49"/>
      <c r="B57" s="49"/>
      <c r="C57" s="49"/>
      <c r="D57" s="49"/>
    </row>
    <row r="58" spans="1:4" ht="18.75" thickBot="1" x14ac:dyDescent="0.3">
      <c r="A58" s="42" t="s">
        <v>14</v>
      </c>
      <c r="B58" s="43">
        <v>4</v>
      </c>
      <c r="C58" s="44" t="s">
        <v>23</v>
      </c>
      <c r="D58" s="53">
        <f>$D$39+7</f>
        <v>45915</v>
      </c>
    </row>
    <row r="59" spans="1:4" ht="27.75" thickBot="1" x14ac:dyDescent="0.3">
      <c r="A59" s="45" t="s">
        <v>3</v>
      </c>
      <c r="B59" s="46" t="s">
        <v>15</v>
      </c>
      <c r="C59" s="45" t="s">
        <v>7</v>
      </c>
      <c r="D59" s="45" t="s">
        <v>13</v>
      </c>
    </row>
    <row r="60" spans="1:4" x14ac:dyDescent="0.25">
      <c r="A60" s="5" t="s">
        <v>31</v>
      </c>
      <c r="B60" s="4">
        <v>2</v>
      </c>
      <c r="C60" s="89" t="s">
        <v>40</v>
      </c>
      <c r="D60" s="9"/>
    </row>
    <row r="61" spans="1:4" x14ac:dyDescent="0.25">
      <c r="A61" s="1" t="s">
        <v>32</v>
      </c>
      <c r="B61" s="2">
        <v>4</v>
      </c>
      <c r="C61" s="90" t="s">
        <v>51</v>
      </c>
      <c r="D61" s="10"/>
    </row>
    <row r="62" spans="1:4" ht="27" x14ac:dyDescent="0.25">
      <c r="A62" s="1" t="s">
        <v>32</v>
      </c>
      <c r="B62" s="2">
        <v>3</v>
      </c>
      <c r="C62" s="90" t="s">
        <v>41</v>
      </c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7" t="s">
        <v>22</v>
      </c>
      <c r="B75" s="47">
        <f>SUM(B60:B74)</f>
        <v>9</v>
      </c>
      <c r="C75" s="86" t="s">
        <v>28</v>
      </c>
      <c r="D75" s="48"/>
    </row>
    <row r="76" spans="1:4" ht="15" thickBot="1" x14ac:dyDescent="0.35">
      <c r="A76" s="49"/>
      <c r="B76" s="49"/>
      <c r="C76" s="49"/>
      <c r="D76" s="49"/>
    </row>
    <row r="77" spans="1:4" ht="18.75" thickBot="1" x14ac:dyDescent="0.3">
      <c r="A77" s="42" t="s">
        <v>14</v>
      </c>
      <c r="B77" s="43">
        <v>5</v>
      </c>
      <c r="C77" s="44" t="s">
        <v>23</v>
      </c>
      <c r="D77" s="53">
        <f>$D$58+7</f>
        <v>45922</v>
      </c>
    </row>
    <row r="78" spans="1:4" ht="27.75" thickBot="1" x14ac:dyDescent="0.3">
      <c r="A78" s="45" t="s">
        <v>3</v>
      </c>
      <c r="B78" s="46" t="s">
        <v>15</v>
      </c>
      <c r="C78" s="45" t="s">
        <v>7</v>
      </c>
      <c r="D78" s="45" t="s">
        <v>13</v>
      </c>
    </row>
    <row r="79" spans="1:4" x14ac:dyDescent="0.25">
      <c r="A79" s="88" t="s">
        <v>42</v>
      </c>
      <c r="B79" s="4">
        <v>9</v>
      </c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0"/>
      <c r="B91" s="50"/>
      <c r="C91" s="51"/>
      <c r="D91" s="51"/>
    </row>
    <row r="92" spans="1:4" x14ac:dyDescent="0.25">
      <c r="A92" s="50"/>
      <c r="B92" s="50"/>
      <c r="C92" s="51"/>
      <c r="D92" s="51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7" t="s">
        <v>22</v>
      </c>
      <c r="B94" s="47">
        <f>SUM(B79:B93)</f>
        <v>9</v>
      </c>
      <c r="C94" s="86" t="s">
        <v>28</v>
      </c>
      <c r="D94" s="48"/>
    </row>
    <row r="95" spans="1:4" ht="15" thickBot="1" x14ac:dyDescent="0.35">
      <c r="A95" s="49"/>
      <c r="B95" s="49"/>
      <c r="C95" s="49"/>
      <c r="D95" s="49"/>
    </row>
    <row r="96" spans="1:4" ht="18.75" thickBot="1" x14ac:dyDescent="0.3">
      <c r="A96" s="42" t="s">
        <v>14</v>
      </c>
      <c r="B96" s="43">
        <v>6</v>
      </c>
      <c r="C96" s="44" t="s">
        <v>23</v>
      </c>
      <c r="D96" s="53">
        <f>$D$77+7</f>
        <v>45929</v>
      </c>
    </row>
    <row r="97" spans="1:4" ht="27.75" thickBot="1" x14ac:dyDescent="0.3">
      <c r="A97" s="45" t="s">
        <v>3</v>
      </c>
      <c r="B97" s="46" t="s">
        <v>15</v>
      </c>
      <c r="C97" s="45" t="s">
        <v>7</v>
      </c>
      <c r="D97" s="45" t="s">
        <v>13</v>
      </c>
    </row>
    <row r="98" spans="1:4" ht="27" x14ac:dyDescent="0.25">
      <c r="A98" s="88" t="s">
        <v>43</v>
      </c>
      <c r="B98" s="4">
        <v>3</v>
      </c>
      <c r="C98" s="89" t="s">
        <v>44</v>
      </c>
      <c r="D98" s="9"/>
    </row>
    <row r="99" spans="1:4" ht="27" x14ac:dyDescent="0.25">
      <c r="A99" s="1" t="s">
        <v>32</v>
      </c>
      <c r="B99" s="2">
        <v>6</v>
      </c>
      <c r="C99" s="90" t="s">
        <v>45</v>
      </c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0"/>
      <c r="B110" s="50"/>
      <c r="C110" s="51"/>
      <c r="D110" s="51"/>
    </row>
    <row r="111" spans="1:4" x14ac:dyDescent="0.25">
      <c r="A111" s="50"/>
      <c r="B111" s="50"/>
      <c r="C111" s="51"/>
      <c r="D111" s="51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7" t="s">
        <v>22</v>
      </c>
      <c r="B113" s="47">
        <f>SUM(B98:B112)</f>
        <v>9</v>
      </c>
      <c r="C113" s="86" t="s">
        <v>28</v>
      </c>
      <c r="D113" s="48"/>
    </row>
    <row r="114" spans="1:4" ht="15" thickBot="1" x14ac:dyDescent="0.35">
      <c r="A114" s="49"/>
      <c r="B114" s="49"/>
      <c r="C114" s="49"/>
      <c r="D114" s="49"/>
    </row>
    <row r="115" spans="1:4" ht="18.75" thickBot="1" x14ac:dyDescent="0.3">
      <c r="A115" s="42" t="s">
        <v>14</v>
      </c>
      <c r="B115" s="43">
        <v>7</v>
      </c>
      <c r="C115" s="44" t="s">
        <v>23</v>
      </c>
      <c r="D115" s="53">
        <f>$D$96+7</f>
        <v>45936</v>
      </c>
    </row>
    <row r="116" spans="1:4" ht="27.75" thickBot="1" x14ac:dyDescent="0.3">
      <c r="A116" s="45" t="s">
        <v>3</v>
      </c>
      <c r="B116" s="46" t="s">
        <v>15</v>
      </c>
      <c r="C116" s="45" t="s">
        <v>7</v>
      </c>
      <c r="D116" s="45" t="s">
        <v>13</v>
      </c>
    </row>
    <row r="117" spans="1:4" ht="27" x14ac:dyDescent="0.25">
      <c r="A117" s="88" t="s">
        <v>46</v>
      </c>
      <c r="B117" s="4">
        <v>3</v>
      </c>
      <c r="C117" s="89" t="s">
        <v>47</v>
      </c>
      <c r="D117" s="9"/>
    </row>
    <row r="118" spans="1:4" ht="27" x14ac:dyDescent="0.25">
      <c r="A118" s="1" t="s">
        <v>32</v>
      </c>
      <c r="B118" s="2">
        <v>3</v>
      </c>
      <c r="C118" s="90" t="s">
        <v>48</v>
      </c>
      <c r="D118" s="10"/>
    </row>
    <row r="119" spans="1:4" ht="27" x14ac:dyDescent="0.25">
      <c r="A119" s="1" t="s">
        <v>32</v>
      </c>
      <c r="B119" s="2">
        <v>3</v>
      </c>
      <c r="C119" s="90" t="s">
        <v>49</v>
      </c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0"/>
      <c r="B129" s="50"/>
      <c r="C129" s="51"/>
      <c r="D129" s="51"/>
    </row>
    <row r="130" spans="1:4" x14ac:dyDescent="0.25">
      <c r="A130" s="50"/>
      <c r="B130" s="50"/>
      <c r="C130" s="51"/>
      <c r="D130" s="51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7" t="s">
        <v>22</v>
      </c>
      <c r="B132" s="47">
        <f>SUM(B117:B131)</f>
        <v>9</v>
      </c>
      <c r="C132" s="86" t="s">
        <v>28</v>
      </c>
      <c r="D132" s="48"/>
    </row>
    <row r="133" spans="1:4" ht="15" thickBot="1" x14ac:dyDescent="0.35">
      <c r="A133" s="49"/>
      <c r="B133" s="49"/>
      <c r="C133" s="49"/>
      <c r="D133" s="49"/>
    </row>
    <row r="134" spans="1:4" ht="18.75" thickBot="1" x14ac:dyDescent="0.3">
      <c r="A134" s="42" t="s">
        <v>14</v>
      </c>
      <c r="B134" s="43">
        <v>8</v>
      </c>
      <c r="C134" s="44" t="s">
        <v>23</v>
      </c>
      <c r="D134" s="53">
        <f>$D$115+21</f>
        <v>45957</v>
      </c>
    </row>
    <row r="135" spans="1:4" ht="27.75" thickBot="1" x14ac:dyDescent="0.3">
      <c r="A135" s="45" t="s">
        <v>3</v>
      </c>
      <c r="B135" s="46" t="s">
        <v>15</v>
      </c>
      <c r="C135" s="45" t="s">
        <v>7</v>
      </c>
      <c r="D135" s="45" t="s">
        <v>13</v>
      </c>
    </row>
    <row r="136" spans="1:4" ht="27" x14ac:dyDescent="0.25">
      <c r="A136" s="88" t="s">
        <v>52</v>
      </c>
      <c r="B136" s="4">
        <v>9</v>
      </c>
      <c r="C136" s="96" t="s">
        <v>53</v>
      </c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0"/>
      <c r="B148" s="50"/>
      <c r="C148" s="51"/>
      <c r="D148" s="51"/>
    </row>
    <row r="149" spans="1:4" x14ac:dyDescent="0.25">
      <c r="A149" s="50"/>
      <c r="B149" s="50"/>
      <c r="C149" s="51"/>
      <c r="D149" s="51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7" t="s">
        <v>22</v>
      </c>
      <c r="B151" s="47">
        <f>SUM(B136:B150)</f>
        <v>9</v>
      </c>
      <c r="C151" s="86" t="s">
        <v>28</v>
      </c>
      <c r="D151" s="48"/>
    </row>
    <row r="152" spans="1:4" ht="14.25" x14ac:dyDescent="0.3">
      <c r="A152" s="49"/>
      <c r="B152" s="49"/>
      <c r="C152" s="49"/>
      <c r="D152" s="49"/>
    </row>
    <row r="153" spans="1:4" x14ac:dyDescent="0.25">
      <c r="A153" s="87" t="s">
        <v>29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2379AEE1-FDCD-4A0B-84FD-36773E3730C9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 xr:uid="{C180965F-AC3C-475B-B23D-84962420ADD5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69CDB49B-332E-4679-B937-D06E6E932CA8}">
      <formula1>0</formula1>
      <formula2>NbPerWeek * NbQuartPer</formula2>
    </dataValidation>
    <dataValidation type="list" allowBlank="1" showInputMessage="1" showErrorMessage="1" sqref="A3:A17 A22:A36 A41:A55 A60:A74 A79:A93 A98:A112 A117:A131 A136:A150" xr:uid="{671DC9ED-7526-443E-905C-597A7F182684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3009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3009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customXml/itemProps2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Diogo Filipe Rodrigues Lopes</dc:creator>
  <cp:lastModifiedBy>Diogo Rodrigues Lopes</cp:lastModifiedBy>
  <cp:lastPrinted>2013-08-29T11:33:15Z</cp:lastPrinted>
  <dcterms:created xsi:type="dcterms:W3CDTF">1996-10-21T11:03:58Z</dcterms:created>
  <dcterms:modified xsi:type="dcterms:W3CDTF">2025-10-27T07:37:41Z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